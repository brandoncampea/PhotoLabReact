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liff.robbins/Downloads/"/>
    </mc:Choice>
  </mc:AlternateContent>
  <xr:revisionPtr revIDLastSave="0" documentId="8_{B68D0D9E-86C1-B849-BF48-2BB24C17D8F6}" xr6:coauthVersionLast="47" xr6:coauthVersionMax="47" xr10:uidLastSave="{00000000-0000-0000-0000-000000000000}"/>
  <bookViews>
    <workbookView xWindow="-17320" yWindow="-18820" windowWidth="28540" windowHeight="18380" xr2:uid="{D084889A-714A-8643-A334-F855BC56DC12}"/>
  </bookViews>
  <sheets>
    <sheet name="Pro-Client" sheetId="7" r:id="rId1"/>
  </sheets>
  <definedNames>
    <definedName name="_xlnm._FilterDatabase" localSheetId="0" hidden="1">'Pro-Client'!$A$1:$N$71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N34" i="7" l="1"/>
  <c r="N33" i="7"/>
  <c r="N39" i="7"/>
  <c r="N38" i="7"/>
  <c r="N40" i="7"/>
  <c r="N42" i="7"/>
  <c r="N41" i="7"/>
  <c r="N43" i="7"/>
  <c r="N32" i="7"/>
  <c r="N31" i="7"/>
  <c r="N45" i="7"/>
  <c r="N46" i="7"/>
  <c r="N36" i="7"/>
  <c r="N35" i="7"/>
  <c r="N37" i="7"/>
  <c r="N44" i="7"/>
  <c r="N18" i="7"/>
  <c r="N17" i="7"/>
  <c r="N23" i="7"/>
  <c r="N22" i="7"/>
  <c r="N24" i="7"/>
  <c r="N26" i="7"/>
  <c r="N25" i="7"/>
  <c r="N27" i="7"/>
  <c r="N16" i="7"/>
  <c r="N15" i="7"/>
  <c r="N29" i="7"/>
  <c r="N30" i="7"/>
  <c r="N20" i="7"/>
  <c r="N19" i="7"/>
  <c r="N21" i="7"/>
  <c r="N28" i="7"/>
  <c r="N13" i="7"/>
  <c r="N14" i="7"/>
  <c r="N3" i="7"/>
  <c r="N12" i="7"/>
  <c r="N7" i="7"/>
  <c r="N6" i="7"/>
  <c r="N8" i="7"/>
  <c r="N2" i="7"/>
  <c r="N5" i="7"/>
  <c r="N10" i="7"/>
  <c r="N11" i="7"/>
  <c r="N9" i="7"/>
</calcChain>
</file>

<file path=xl/sharedStrings.xml><?xml version="1.0" encoding="utf-8"?>
<sst xmlns="http://schemas.openxmlformats.org/spreadsheetml/2006/main" count="252" uniqueCount="77">
  <si>
    <t>id</t>
  </si>
  <si>
    <t>Name</t>
  </si>
  <si>
    <t>Dest</t>
  </si>
  <si>
    <t>Detail</t>
  </si>
  <si>
    <t>Time in Transit</t>
  </si>
  <si>
    <t>parent attribute</t>
  </si>
  <si>
    <t>attribute</t>
  </si>
  <si>
    <t>Ship Fee</t>
  </si>
  <si>
    <t>base Value</t>
  </si>
  <si>
    <t>markup</t>
  </si>
  <si>
    <t>Surcharge</t>
  </si>
  <si>
    <t>Peak Surcharge</t>
  </si>
  <si>
    <t>Product Group</t>
  </si>
  <si>
    <t>Base + Surcharge</t>
  </si>
  <si>
    <t>Canada</t>
  </si>
  <si>
    <t>2-4 days</t>
  </si>
  <si>
    <t>Albums</t>
  </si>
  <si>
    <t>Military</t>
  </si>
  <si>
    <t>5-14 days?</t>
  </si>
  <si>
    <t>PO Box</t>
  </si>
  <si>
    <t>1</t>
  </si>
  <si>
    <t>US Territories</t>
  </si>
  <si>
    <t>(210001 Standard NDA) $6.95 + 18% of $6.95 [PRE-ROUNDED to emulate SQL surcharges table] + $5 AK</t>
  </si>
  <si>
    <t>(210001 Standard NDA) $6.95 + 18% of $6.95 [PRE-ROUNDED to emulate SQL surcharges table] + $6 HI</t>
  </si>
  <si>
    <t>(210001 Standard NDA) $6.95 + 18% of $6.95 [PRE-ROUNDED to emulate SQL surcharges table]</t>
  </si>
  <si>
    <t>(200001 Standard NDS) $3.95 + 12% of $3.95 [PRE-ROUNDED to emulate SQL surcharges table] + $5 AK"</t>
  </si>
  <si>
    <t>(200001 Standard NDS) $3.95 + 12% of $3.95 [PRE-ROUNDED to emulate SQL surcharges table] + $6 HI</t>
  </si>
  <si>
    <t>dropship_military</t>
  </si>
  <si>
    <t>Drop Ship Lowest Cost</t>
  </si>
  <si>
    <t>dropship_pobox</t>
  </si>
  <si>
    <t>dropship_territories</t>
  </si>
  <si>
    <t>Drop Ship USPS</t>
  </si>
  <si>
    <t>dropship_lowest_cost</t>
  </si>
  <si>
    <t>DS Lower 48</t>
  </si>
  <si>
    <t>Expedited, 2-3 Days</t>
  </si>
  <si>
    <t>dropship_one_day_priority_ak</t>
  </si>
  <si>
    <t>Drop Ship Priority One-Day</t>
  </si>
  <si>
    <t>DS Alaska</t>
  </si>
  <si>
    <t>dropship_one_day_priority_hi</t>
  </si>
  <si>
    <t>DS Hawaii</t>
  </si>
  <si>
    <t>dropship_one_day_priority</t>
  </si>
  <si>
    <t>dropship_canada</t>
  </si>
  <si>
    <t>Drop Ship Canada</t>
  </si>
  <si>
    <t>(222223 Canada Shipping Surcharge) $7.95 + 10% of $7.95"</t>
  </si>
  <si>
    <t>dropship_international</t>
  </si>
  <si>
    <t>Drop Ship International</t>
  </si>
  <si>
    <t>na</t>
  </si>
  <si>
    <t>dropship_icp</t>
  </si>
  <si>
    <t>(230017 FedEx ICP) $17.90 + 18% of $17.90 = $21.122 [PRE-ROUNDED to emulate SQL surcharges table]</t>
  </si>
  <si>
    <t>dropship_one_day_priority_signature_required</t>
  </si>
  <si>
    <t>Drop Ship Priority One-Day with Sig Required</t>
  </si>
  <si>
    <t>(210001 Standard NDA) $7.95 + 18% of $7.95 [NOT pre-rounded] + $6.95 + 18% of $6.95 [PRE-ROUNDED to emulate SQL surcharges table] + $10.00 + 18% of $10.00 [NOT pre-rounded]</t>
  </si>
  <si>
    <t>556, 3145</t>
  </si>
  <si>
    <t>dropship_one_day_standard_signature_required</t>
  </si>
  <si>
    <t>Drop Ship Standard One-Day with Sig Required</t>
  </si>
  <si>
    <t>(200001 Standard NDS) $7.95 + 12% of $7.95 [NOT pre-rounded] + $3.95 + 12% of $3.95 [PRE-ROUNDED to emulate SQL surcharges table] + $10.00 + 12% of $10.00 [NOT pre-rounded]</t>
  </si>
  <si>
    <t>Books</t>
  </si>
  <si>
    <t>Everything Else</t>
  </si>
  <si>
    <t>1-5 days</t>
  </si>
  <si>
    <t>dropship_expedited_ak</t>
  </si>
  <si>
    <t>Drop Ship Expedited</t>
  </si>
  <si>
    <t>??</t>
  </si>
  <si>
    <t>dropship_expedited_hi</t>
  </si>
  <si>
    <t>dropship_expedited</t>
  </si>
  <si>
    <t>dropship_one_day_standard_ak</t>
  </si>
  <si>
    <t>Drop Ship Standard One-Day</t>
  </si>
  <si>
    <t>dropship_one_day_standard_hi</t>
  </si>
  <si>
    <t>dropship_one_day_standard</t>
  </si>
  <si>
    <t>(200001 Standard NDS) $7.95 + 12% of $7.95 [NOT pre-rounded] + $3.95 + 12% of $3.95 [PRE-ROUNDED to emulate SQL surcharges table]</t>
  </si>
  <si>
    <t>Wall Art</t>
  </si>
  <si>
    <t>(210001 Standard NDA) $6.95 + 28% of $6.95 [PRE-ROUNDED to emulate SQL surcharges table] + $5 AK</t>
  </si>
  <si>
    <t>(210001 Standard NDA) $6.95 + 28% of $6.95 [PRE-ROUNDED to emulate SQL surcharges table] + $6 HI</t>
  </si>
  <si>
    <t>(210001 Standard NDA) $6.95 + 28% of $6.95 [PRE-ROUNDED to emulate SQL surcharges table]</t>
  </si>
  <si>
    <t>(200001 Standard NDS) $3.95 + 22% of $3.95 [PRE-ROUNDED to emulate SQL surcharges table] + $5 AK"</t>
  </si>
  <si>
    <t>(200001 Standard NDS) $3.95 + 22% of $3.95 [PRE-ROUNDED to emulate SQL surcharges table] + $6 HI</t>
  </si>
  <si>
    <t>(200001 Standard NDS) $7.95 + 22% of $7.95 [NOT pre-rounded] + $3.95 + 12% of $3.95 [PRE-ROUNDED to emulate SQL surcharges table]</t>
  </si>
  <si>
    <t>drop_ship_lowest_cost_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</si>
</sst>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rgb="FFE394D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1ACF-C2AC-A241-B1C4-8723828EFCEE}">
  <dimension ref="A1:N71"/>
  <sheetViews>
    <sheetView tabSelected="1" zoomScale="130" zoomScaleNormal="130" workbookViewId="0">
      <pane ySplit="1" topLeftCell="A2" activePane="bottomLeft" state="frozen"/>
      <selection pane="bottomLeft" activeCell="A40" sqref="A40:A41"/>
    </sheetView>
  </sheetViews>
  <sheetFormatPr baseColWidth="10" defaultColWidth="10.83203125" defaultRowHeight="16" x14ac:dyDescent="0.2"/>
  <cols>
    <col min="1" max="1" width="47" style="1" bestFit="1" customWidth="1"/>
    <col min="2" max="2" width="34.33203125" style="1" customWidth="1"/>
    <col min="3" max="3" width="16" style="1" bestFit="1" customWidth="1"/>
    <col min="4" max="4" width="60" style="1" customWidth="1"/>
    <col min="5" max="5" width="14.83203125" style="6" bestFit="1" customWidth="1"/>
    <col min="6" max="6" width="8.5" style="1" customWidth="1"/>
    <col min="7" max="7" width="10" style="1" customWidth="1"/>
    <col min="8" max="8" width="9.33203125" style="1" bestFit="1" customWidth="1"/>
    <col min="9" max="9" width="11.5" style="1" bestFit="1" customWidth="1"/>
    <col min="10" max="10" width="8" style="2" bestFit="1" customWidth="1"/>
    <col min="11" max="11" width="9.1640625" style="3" customWidth="1"/>
    <col min="12" max="12" width="15.83203125" style="3" bestFit="1" customWidth="1"/>
    <col min="13" max="13" width="15.5" style="1" bestFit="1" customWidth="1"/>
    <col min="14" max="14" width="17.6640625" style="1" bestFit="1" customWidth="1"/>
    <col min="15" max="16384" width="10.832031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</row>
    <row r="2" spans="1:14" x14ac:dyDescent="0.2">
      <c r="A2" s="1" t="s">
        <v>27</v>
      </c>
      <c r="B2" s="1" t="s">
        <v>28</v>
      </c>
      <c r="C2" s="1" t="s">
        <v>17</v>
      </c>
      <c r="E2" s="7" t="s">
        <v>18</v>
      </c>
      <c r="F2" s="1">
        <v>548</v>
      </c>
      <c r="G2" s="1">
        <v>553</v>
      </c>
      <c r="H2" s="3">
        <v>7.95</v>
      </c>
      <c r="I2" s="3"/>
      <c r="L2" s="3">
        <v>2</v>
      </c>
      <c r="M2" s="1" t="s">
        <v>16</v>
      </c>
      <c r="N2" s="3">
        <f>H2+I2+K2+L2</f>
        <v>9.9499999999999993</v>
      </c>
    </row>
    <row r="3" spans="1:14" x14ac:dyDescent="0.2">
      <c r="A3" s="1" t="s">
        <v>29</v>
      </c>
      <c r="B3" s="1" t="s">
        <v>28</v>
      </c>
      <c r="C3" s="1" t="s">
        <v>19</v>
      </c>
      <c r="E3" s="7" t="s">
        <v>18</v>
      </c>
      <c r="F3" s="1">
        <v>548</v>
      </c>
      <c r="G3" s="1">
        <v>553</v>
      </c>
      <c r="H3" s="3">
        <v>7.95</v>
      </c>
      <c r="I3" s="3"/>
      <c r="L3" s="3">
        <v>2</v>
      </c>
      <c r="M3" s="1" t="s">
        <v>16</v>
      </c>
      <c r="N3" s="3">
        <f>H3+I3+K3+L3</f>
        <v>9.9499999999999993</v>
      </c>
    </row>
    <row r="4" spans="1:14" x14ac:dyDescent="0.2">
      <c r="A4" s="1" t="s">
        <v>30</v>
      </c>
      <c r="B4" s="1" t="s">
        <v>31</v>
      </c>
      <c r="C4" s="1" t="s">
        <v>21</v>
      </c>
      <c r="E4" s="7" t="s">
        <v>18</v>
      </c>
      <c r="F4" s="1">
        <v>548</v>
      </c>
      <c r="G4" s="1">
        <v>553</v>
      </c>
      <c r="I4" s="3"/>
      <c r="L4" s="3">
        <v>2</v>
      </c>
      <c r="M4" s="1" t="s">
        <v>16</v>
      </c>
      <c r="N4" s="3">
        <f>H4+I4+K4+L4</f>
        <v>2</v>
      </c>
    </row>
    <row r="5" spans="1:14" x14ac:dyDescent="0.2">
      <c r="A5" s="1" t="s">
        <v>32</v>
      </c>
      <c r="B5" s="1" t="s">
        <v>28</v>
      </c>
      <c r="C5" s="1" t="s">
        <v>33</v>
      </c>
      <c r="D5" s="1" t="s">
        <v>34</v>
      </c>
      <c r="E5" s="6" t="s">
        <v>20</v>
      </c>
      <c r="F5" s="1">
        <v>548</v>
      </c>
      <c r="G5" s="1">
        <v>554</v>
      </c>
      <c r="H5" s="3">
        <v>7.95</v>
      </c>
      <c r="L5" s="3">
        <v>2</v>
      </c>
      <c r="M5" s="1" t="s">
        <v>16</v>
      </c>
      <c r="N5" s="3">
        <f>H5+I5+K5+L5</f>
        <v>9.9499999999999993</v>
      </c>
    </row>
    <row r="6" spans="1:14" x14ac:dyDescent="0.2">
      <c r="A6" s="5" t="s">
        <v>35</v>
      </c>
      <c r="B6" s="1" t="s">
        <v>36</v>
      </c>
      <c r="C6" s="1" t="s">
        <v>37</v>
      </c>
      <c r="D6" s="1" t="s">
        <v>22</v>
      </c>
      <c r="E6" s="6" t="s">
        <v>20</v>
      </c>
      <c r="F6" s="1">
        <v>548</v>
      </c>
      <c r="G6" s="1">
        <v>556</v>
      </c>
      <c r="H6" s="3">
        <v>7.95</v>
      </c>
      <c r="I6" s="3">
        <v>6.95</v>
      </c>
      <c r="J6" s="2">
        <v>0.18</v>
      </c>
      <c r="K6" s="3">
        <v>5</v>
      </c>
      <c r="L6" s="3">
        <v>2</v>
      </c>
      <c r="M6" s="1" t="s">
        <v>16</v>
      </c>
      <c r="N6" s="3">
        <f>(H6+I6+L6+L6)*1.18+K6</f>
        <v>27.301999999999996</v>
      </c>
    </row>
    <row r="7" spans="1:14" x14ac:dyDescent="0.2">
      <c r="A7" s="5" t="s">
        <v>38</v>
      </c>
      <c r="B7" s="1" t="s">
        <v>36</v>
      </c>
      <c r="C7" s="1" t="s">
        <v>39</v>
      </c>
      <c r="D7" s="1" t="s">
        <v>23</v>
      </c>
      <c r="E7" s="6" t="s">
        <v>20</v>
      </c>
      <c r="F7" s="1">
        <v>548</v>
      </c>
      <c r="G7" s="1">
        <v>556</v>
      </c>
      <c r="H7" s="3">
        <v>7.95</v>
      </c>
      <c r="I7" s="3">
        <v>6.95</v>
      </c>
      <c r="J7" s="2">
        <v>0.18</v>
      </c>
      <c r="K7" s="3">
        <v>6</v>
      </c>
      <c r="L7" s="3">
        <v>2</v>
      </c>
      <c r="M7" s="1" t="s">
        <v>16</v>
      </c>
      <c r="N7" s="3">
        <f>(H7+I7+L7+L7)*1.18+K7</f>
        <v>28.301999999999996</v>
      </c>
    </row>
    <row r="8" spans="1:14" x14ac:dyDescent="0.2">
      <c r="A8" s="1" t="s">
        <v>40</v>
      </c>
      <c r="B8" s="1" t="s">
        <v>36</v>
      </c>
      <c r="C8" s="1" t="s">
        <v>33</v>
      </c>
      <c r="D8" s="1" t="s">
        <v>24</v>
      </c>
      <c r="E8" s="6" t="s">
        <v>20</v>
      </c>
      <c r="F8" s="1">
        <v>548</v>
      </c>
      <c r="G8" s="1">
        <v>556</v>
      </c>
      <c r="H8" s="3">
        <v>7.95</v>
      </c>
      <c r="I8" s="3">
        <v>6.95</v>
      </c>
      <c r="J8" s="2">
        <v>0.18</v>
      </c>
      <c r="L8" s="3">
        <v>2</v>
      </c>
      <c r="M8" s="1" t="s">
        <v>16</v>
      </c>
      <c r="N8" s="3">
        <f>(H8+I8+L8+L8)*1.18+K8</f>
        <v>22.301999999999996</v>
      </c>
    </row>
    <row r="9" spans="1:14" x14ac:dyDescent="0.2">
      <c r="A9" s="1" t="s">
        <v>41</v>
      </c>
      <c r="B9" s="1" t="s">
        <v>42</v>
      </c>
      <c r="C9" s="1" t="s">
        <v>14</v>
      </c>
      <c r="D9" s="1" t="s">
        <v>43</v>
      </c>
      <c r="E9" s="7" t="s">
        <v>15</v>
      </c>
      <c r="F9" s="1">
        <v>548</v>
      </c>
      <c r="G9" s="1">
        <v>557</v>
      </c>
      <c r="H9" s="3">
        <v>7.95</v>
      </c>
      <c r="I9" s="3"/>
      <c r="J9" s="2">
        <v>0.1</v>
      </c>
      <c r="L9" s="3">
        <v>2</v>
      </c>
      <c r="M9" s="1" t="s">
        <v>16</v>
      </c>
      <c r="N9" s="3">
        <f>(H9+I9+L9)*1.1</f>
        <v>10.945</v>
      </c>
    </row>
    <row r="10" spans="1:14" x14ac:dyDescent="0.2">
      <c r="A10" s="1" t="s">
        <v>44</v>
      </c>
      <c r="B10" s="1" t="s">
        <v>45</v>
      </c>
      <c r="E10" s="7" t="s">
        <v>46</v>
      </c>
      <c r="F10" s="1">
        <v>548</v>
      </c>
      <c r="G10" s="1">
        <v>558</v>
      </c>
      <c r="H10" s="3">
        <v>7.95</v>
      </c>
      <c r="I10" s="3"/>
      <c r="L10" s="3">
        <v>2</v>
      </c>
      <c r="M10" s="1" t="s">
        <v>16</v>
      </c>
      <c r="N10" s="3">
        <f>H10+I10+K10+L10</f>
        <v>9.9499999999999993</v>
      </c>
    </row>
    <row r="11" spans="1:14" x14ac:dyDescent="0.2">
      <c r="A11" s="1" t="s">
        <v>47</v>
      </c>
      <c r="B11" s="1" t="s">
        <v>45</v>
      </c>
      <c r="D11" s="1" t="s">
        <v>48</v>
      </c>
      <c r="E11" s="6" t="s">
        <v>46</v>
      </c>
      <c r="F11" s="1">
        <v>548</v>
      </c>
      <c r="G11" s="1">
        <v>3059</v>
      </c>
      <c r="H11" s="3">
        <v>17.899999999999999</v>
      </c>
      <c r="I11" s="3"/>
      <c r="J11" s="2">
        <v>0.18</v>
      </c>
      <c r="L11" s="3">
        <v>2</v>
      </c>
      <c r="M11" s="1" t="s">
        <v>16</v>
      </c>
      <c r="N11" s="3">
        <f>(H11+I11+L11)*1.18</f>
        <v>23.481999999999996</v>
      </c>
    </row>
    <row r="12" spans="1:14" x14ac:dyDescent="0.2">
      <c r="A12" s="1" t="s">
        <v>49</v>
      </c>
      <c r="B12" s="1" t="s">
        <v>50</v>
      </c>
      <c r="C12" s="1" t="s">
        <v>33</v>
      </c>
      <c r="D12" s="1" t="s">
        <v>51</v>
      </c>
      <c r="E12" s="6" t="s">
        <v>20</v>
      </c>
      <c r="F12" s="1">
        <v>548</v>
      </c>
      <c r="G12" s="1" t="s">
        <v>52</v>
      </c>
      <c r="H12" s="3">
        <v>7.95</v>
      </c>
      <c r="I12" s="3">
        <v>6.95</v>
      </c>
      <c r="J12" s="2">
        <v>0.18</v>
      </c>
      <c r="K12" s="3">
        <v>10</v>
      </c>
      <c r="L12" s="3">
        <v>2</v>
      </c>
      <c r="M12" s="1" t="s">
        <v>16</v>
      </c>
      <c r="N12" s="4">
        <f>(H12+I12+L12+L12+K12)*1.18</f>
        <v>34.101999999999997</v>
      </c>
    </row>
    <row r="13" spans="1:14" x14ac:dyDescent="0.2">
      <c r="A13" s="1" t="s">
        <v>53</v>
      </c>
      <c r="B13" s="1" t="s">
        <v>54</v>
      </c>
      <c r="C13" s="1" t="s">
        <v>33</v>
      </c>
      <c r="D13" s="1" t="s">
        <v>55</v>
      </c>
      <c r="E13" s="7">
        <v>1</v>
      </c>
      <c r="F13" s="1">
        <v>548</v>
      </c>
      <c r="G13" s="1">
        <v>555</v>
      </c>
      <c r="H13" s="3">
        <v>7.95</v>
      </c>
      <c r="I13" s="3">
        <v>3.95</v>
      </c>
      <c r="J13" s="2">
        <v>0.12</v>
      </c>
      <c r="K13" s="3">
        <v>10</v>
      </c>
      <c r="L13" s="3">
        <v>2</v>
      </c>
      <c r="M13" s="1" t="s">
        <v>56</v>
      </c>
      <c r="N13" s="4">
        <f>(H13+I13+L13+L13+K13)*1.12</f>
        <v>29.008000000000003</v>
      </c>
    </row>
    <row r="14" spans="1:14" x14ac:dyDescent="0.2">
      <c r="A14" s="1" t="s">
        <v>49</v>
      </c>
      <c r="B14" s="1" t="s">
        <v>50</v>
      </c>
      <c r="C14" s="1" t="s">
        <v>33</v>
      </c>
      <c r="D14" s="1" t="s">
        <v>51</v>
      </c>
      <c r="E14" s="7">
        <v>1</v>
      </c>
      <c r="F14" s="1">
        <v>548</v>
      </c>
      <c r="G14" s="1">
        <v>556</v>
      </c>
      <c r="H14" s="3">
        <v>7.95</v>
      </c>
      <c r="I14" s="3">
        <v>6.95</v>
      </c>
      <c r="J14" s="2">
        <v>0.18</v>
      </c>
      <c r="K14" s="3">
        <v>10</v>
      </c>
      <c r="L14" s="3">
        <v>2</v>
      </c>
      <c r="M14" s="1" t="s">
        <v>56</v>
      </c>
      <c r="N14" s="4">
        <f>(H14+I14+L14+L14+K14)*1.18</f>
        <v>34.101999999999997</v>
      </c>
    </row>
    <row r="15" spans="1:14" x14ac:dyDescent="0.2">
      <c r="A15" s="1" t="s">
        <v>32</v>
      </c>
      <c r="B15" s="1" t="s">
        <v>28</v>
      </c>
      <c r="C15" s="1" t="s">
        <v>33</v>
      </c>
      <c r="E15" s="7" t="s">
        <v>58</v>
      </c>
      <c r="F15" s="1">
        <v>548</v>
      </c>
      <c r="G15" s="1">
        <v>553</v>
      </c>
      <c r="H15" s="3">
        <v>7.95</v>
      </c>
      <c r="L15" s="3">
        <v>2</v>
      </c>
      <c r="M15" s="1" t="s">
        <v>57</v>
      </c>
      <c r="N15" s="3">
        <f t="shared" ref="N15:N21" si="0">H15+I15+K15+L15</f>
        <v>9.9499999999999993</v>
      </c>
    </row>
    <row r="16" spans="1:14" x14ac:dyDescent="0.2">
      <c r="A16" s="1" t="s">
        <v>27</v>
      </c>
      <c r="B16" s="1" t="s">
        <v>28</v>
      </c>
      <c r="C16" s="1" t="s">
        <v>17</v>
      </c>
      <c r="E16" s="7" t="s">
        <v>18</v>
      </c>
      <c r="F16" s="1">
        <v>548</v>
      </c>
      <c r="G16" s="1">
        <v>553</v>
      </c>
      <c r="H16" s="3">
        <v>7.95</v>
      </c>
      <c r="I16" s="3"/>
      <c r="L16" s="3">
        <v>2</v>
      </c>
      <c r="M16" s="1" t="s">
        <v>57</v>
      </c>
      <c r="N16" s="3">
        <f t="shared" si="0"/>
        <v>9.9499999999999993</v>
      </c>
    </row>
    <row r="17" spans="1:14" x14ac:dyDescent="0.2">
      <c r="A17" s="1" t="s">
        <v>29</v>
      </c>
      <c r="B17" s="1" t="s">
        <v>28</v>
      </c>
      <c r="C17" s="1" t="s">
        <v>19</v>
      </c>
      <c r="E17" s="7" t="s">
        <v>18</v>
      </c>
      <c r="F17" s="1">
        <v>548</v>
      </c>
      <c r="G17" s="1">
        <v>553</v>
      </c>
      <c r="H17" s="3">
        <v>7.95</v>
      </c>
      <c r="I17" s="3"/>
      <c r="L17" s="3">
        <v>2</v>
      </c>
      <c r="M17" s="1" t="s">
        <v>57</v>
      </c>
      <c r="N17" s="3">
        <f t="shared" si="0"/>
        <v>9.9499999999999993</v>
      </c>
    </row>
    <row r="18" spans="1:14" x14ac:dyDescent="0.2">
      <c r="A18" s="1" t="s">
        <v>30</v>
      </c>
      <c r="B18" s="1" t="s">
        <v>31</v>
      </c>
      <c r="C18" s="1" t="s">
        <v>21</v>
      </c>
      <c r="E18" s="7" t="s">
        <v>18</v>
      </c>
      <c r="F18" s="1">
        <v>548</v>
      </c>
      <c r="G18" s="1">
        <v>553</v>
      </c>
      <c r="I18" s="3"/>
      <c r="L18" s="3">
        <v>2</v>
      </c>
      <c r="M18" s="1" t="s">
        <v>57</v>
      </c>
      <c r="N18" s="3">
        <f t="shared" si="0"/>
        <v>2</v>
      </c>
    </row>
    <row r="19" spans="1:14" x14ac:dyDescent="0.2">
      <c r="A19" s="1" t="s">
        <v>59</v>
      </c>
      <c r="B19" s="1" t="s">
        <v>60</v>
      </c>
      <c r="C19" s="1" t="s">
        <v>37</v>
      </c>
      <c r="E19" s="7" t="s">
        <v>61</v>
      </c>
      <c r="F19" s="1">
        <v>548</v>
      </c>
      <c r="G19" s="1">
        <v>554</v>
      </c>
      <c r="H19" s="3">
        <v>11.5</v>
      </c>
      <c r="K19" s="3">
        <v>5</v>
      </c>
      <c r="L19" s="3">
        <v>2</v>
      </c>
      <c r="M19" s="1" t="s">
        <v>57</v>
      </c>
      <c r="N19" s="3">
        <f t="shared" si="0"/>
        <v>18.5</v>
      </c>
    </row>
    <row r="20" spans="1:14" x14ac:dyDescent="0.2">
      <c r="A20" s="1" t="s">
        <v>62</v>
      </c>
      <c r="B20" s="1" t="s">
        <v>60</v>
      </c>
      <c r="C20" s="1" t="s">
        <v>39</v>
      </c>
      <c r="E20" s="7" t="s">
        <v>61</v>
      </c>
      <c r="F20" s="1">
        <v>548</v>
      </c>
      <c r="G20" s="1">
        <v>554</v>
      </c>
      <c r="H20" s="3">
        <v>11.5</v>
      </c>
      <c r="K20" s="3">
        <v>6</v>
      </c>
      <c r="L20" s="3">
        <v>2</v>
      </c>
      <c r="M20" s="1" t="s">
        <v>57</v>
      </c>
      <c r="N20" s="3">
        <f t="shared" si="0"/>
        <v>19.5</v>
      </c>
    </row>
    <row r="21" spans="1:14" x14ac:dyDescent="0.2">
      <c r="A21" s="1" t="s">
        <v>63</v>
      </c>
      <c r="B21" s="1" t="s">
        <v>60</v>
      </c>
      <c r="C21" s="1" t="s">
        <v>33</v>
      </c>
      <c r="E21" s="7" t="s">
        <v>61</v>
      </c>
      <c r="F21" s="1">
        <v>548</v>
      </c>
      <c r="G21" s="1">
        <v>554</v>
      </c>
      <c r="H21" s="3">
        <v>11.5</v>
      </c>
      <c r="L21" s="3">
        <v>2</v>
      </c>
      <c r="M21" s="1" t="s">
        <v>57</v>
      </c>
      <c r="N21" s="3">
        <f t="shared" si="0"/>
        <v>13.5</v>
      </c>
    </row>
    <row r="22" spans="1:14" x14ac:dyDescent="0.2">
      <c r="A22" s="1" t="s">
        <v>64</v>
      </c>
      <c r="B22" s="1" t="s">
        <v>65</v>
      </c>
      <c r="C22" s="1" t="s">
        <v>37</v>
      </c>
      <c r="D22" s="1" t="s">
        <v>25</v>
      </c>
      <c r="E22" s="7">
        <v>1</v>
      </c>
      <c r="F22" s="1">
        <v>548</v>
      </c>
      <c r="G22" s="1">
        <v>555</v>
      </c>
      <c r="H22" s="3">
        <v>7.95</v>
      </c>
      <c r="I22" s="3">
        <v>3.95</v>
      </c>
      <c r="J22" s="2">
        <v>0.12</v>
      </c>
      <c r="K22" s="3">
        <v>5</v>
      </c>
      <c r="L22" s="3">
        <v>2</v>
      </c>
      <c r="M22" s="1" t="s">
        <v>57</v>
      </c>
      <c r="N22" s="3">
        <f>(H22+I22+L22+L22)*1.12+K22</f>
        <v>22.808000000000003</v>
      </c>
    </row>
    <row r="23" spans="1:14" x14ac:dyDescent="0.2">
      <c r="A23" s="1" t="s">
        <v>66</v>
      </c>
      <c r="B23" s="1" t="s">
        <v>65</v>
      </c>
      <c r="C23" s="1" t="s">
        <v>39</v>
      </c>
      <c r="D23" s="1" t="s">
        <v>26</v>
      </c>
      <c r="E23" s="7">
        <v>1</v>
      </c>
      <c r="F23" s="1">
        <v>548</v>
      </c>
      <c r="G23" s="1">
        <v>555</v>
      </c>
      <c r="H23" s="3">
        <v>7.95</v>
      </c>
      <c r="I23" s="3">
        <v>3.95</v>
      </c>
      <c r="J23" s="2">
        <v>0.12</v>
      </c>
      <c r="K23" s="3">
        <v>6</v>
      </c>
      <c r="L23" s="3">
        <v>2</v>
      </c>
      <c r="M23" s="1" t="s">
        <v>57</v>
      </c>
      <c r="N23" s="3">
        <f>(H23+I23+L23+L23)*1.12+K23</f>
        <v>23.808000000000003</v>
      </c>
    </row>
    <row r="24" spans="1:14" x14ac:dyDescent="0.2">
      <c r="A24" s="1" t="s">
        <v>67</v>
      </c>
      <c r="B24" s="1" t="s">
        <v>65</v>
      </c>
      <c r="C24" s="1" t="s">
        <v>33</v>
      </c>
      <c r="D24" s="1" t="s">
        <v>68</v>
      </c>
      <c r="E24" s="7">
        <v>1</v>
      </c>
      <c r="F24" s="1">
        <v>548</v>
      </c>
      <c r="G24" s="1">
        <v>555</v>
      </c>
      <c r="H24" s="3">
        <v>7.95</v>
      </c>
      <c r="I24" s="3">
        <v>3.95</v>
      </c>
      <c r="J24" s="2">
        <v>0.12</v>
      </c>
      <c r="L24" s="3">
        <v>2</v>
      </c>
      <c r="M24" s="1" t="s">
        <v>57</v>
      </c>
      <c r="N24" s="3">
        <f>(H24+I24+L24+L24)*1.12+K24</f>
        <v>17.808000000000003</v>
      </c>
    </row>
    <row r="25" spans="1:14" x14ac:dyDescent="0.2">
      <c r="A25" s="1" t="s">
        <v>35</v>
      </c>
      <c r="B25" s="1" t="s">
        <v>36</v>
      </c>
      <c r="C25" s="1" t="s">
        <v>37</v>
      </c>
      <c r="D25" s="1" t="s">
        <v>22</v>
      </c>
      <c r="E25" s="7">
        <v>1</v>
      </c>
      <c r="F25" s="1">
        <v>548</v>
      </c>
      <c r="G25" s="1">
        <v>556</v>
      </c>
      <c r="H25" s="3">
        <v>7.95</v>
      </c>
      <c r="I25" s="3">
        <v>6.95</v>
      </c>
      <c r="J25" s="2">
        <v>0.18</v>
      </c>
      <c r="K25" s="3">
        <v>5</v>
      </c>
      <c r="L25" s="3">
        <v>2</v>
      </c>
      <c r="M25" s="1" t="s">
        <v>57</v>
      </c>
      <c r="N25" s="3">
        <f>(H25+I25+L25+L25)*1.18+K25</f>
        <v>27.301999999999996</v>
      </c>
    </row>
    <row r="26" spans="1:14" x14ac:dyDescent="0.2">
      <c r="A26" s="1" t="s">
        <v>38</v>
      </c>
      <c r="B26" s="1" t="s">
        <v>36</v>
      </c>
      <c r="C26" s="1" t="s">
        <v>39</v>
      </c>
      <c r="D26" s="1" t="s">
        <v>23</v>
      </c>
      <c r="E26" s="7">
        <v>1</v>
      </c>
      <c r="F26" s="1">
        <v>548</v>
      </c>
      <c r="G26" s="1">
        <v>556</v>
      </c>
      <c r="H26" s="3">
        <v>7.95</v>
      </c>
      <c r="I26" s="3">
        <v>6.95</v>
      </c>
      <c r="J26" s="2">
        <v>0.18</v>
      </c>
      <c r="K26" s="3">
        <v>6</v>
      </c>
      <c r="L26" s="3">
        <v>2</v>
      </c>
      <c r="M26" s="1" t="s">
        <v>57</v>
      </c>
      <c r="N26" s="3">
        <f>(H26+I26+L26+L26)*1.18+K26</f>
        <v>28.301999999999996</v>
      </c>
    </row>
    <row r="27" spans="1:14" x14ac:dyDescent="0.2">
      <c r="A27" s="1" t="s">
        <v>40</v>
      </c>
      <c r="B27" s="1" t="s">
        <v>36</v>
      </c>
      <c r="C27" s="1" t="s">
        <v>33</v>
      </c>
      <c r="D27" s="1" t="s">
        <v>24</v>
      </c>
      <c r="E27" s="7">
        <v>1</v>
      </c>
      <c r="F27" s="1">
        <v>548</v>
      </c>
      <c r="G27" s="1">
        <v>556</v>
      </c>
      <c r="H27" s="3">
        <v>7.95</v>
      </c>
      <c r="I27" s="3">
        <v>6.95</v>
      </c>
      <c r="J27" s="2">
        <v>0.18</v>
      </c>
      <c r="L27" s="3">
        <v>2</v>
      </c>
      <c r="M27" s="1" t="s">
        <v>57</v>
      </c>
      <c r="N27" s="3">
        <f>(H27+I27+L27+L27)*1.18+K27</f>
        <v>22.301999999999996</v>
      </c>
    </row>
    <row r="28" spans="1:14" x14ac:dyDescent="0.2">
      <c r="A28" s="1" t="s">
        <v>41</v>
      </c>
      <c r="B28" s="1" t="s">
        <v>42</v>
      </c>
      <c r="C28" s="1" t="s">
        <v>14</v>
      </c>
      <c r="D28" s="1" t="s">
        <v>43</v>
      </c>
      <c r="E28" s="7" t="s">
        <v>15</v>
      </c>
      <c r="F28" s="1">
        <v>548</v>
      </c>
      <c r="G28" s="1">
        <v>557</v>
      </c>
      <c r="H28" s="3">
        <v>7.95</v>
      </c>
      <c r="I28" s="3"/>
      <c r="J28" s="2">
        <v>0.1</v>
      </c>
      <c r="L28" s="3">
        <v>2</v>
      </c>
      <c r="M28" s="1" t="s">
        <v>57</v>
      </c>
      <c r="N28" s="3">
        <f>(H28+I28+L28)*1.1</f>
        <v>10.945</v>
      </c>
    </row>
    <row r="29" spans="1:14" x14ac:dyDescent="0.2">
      <c r="A29" s="1" t="s">
        <v>44</v>
      </c>
      <c r="B29" s="1" t="s">
        <v>45</v>
      </c>
      <c r="E29" s="7" t="s">
        <v>46</v>
      </c>
      <c r="F29" s="1">
        <v>548</v>
      </c>
      <c r="G29" s="1">
        <v>558</v>
      </c>
      <c r="H29" s="3">
        <v>7.95</v>
      </c>
      <c r="I29" s="3"/>
      <c r="L29" s="3">
        <v>2</v>
      </c>
      <c r="M29" s="1" t="s">
        <v>57</v>
      </c>
      <c r="N29" s="3">
        <f>H29+I29+K29+L29</f>
        <v>9.9499999999999993</v>
      </c>
    </row>
    <row r="30" spans="1:14" x14ac:dyDescent="0.2">
      <c r="A30" s="1" t="s">
        <v>47</v>
      </c>
      <c r="B30" s="1" t="s">
        <v>45</v>
      </c>
      <c r="D30" s="1" t="s">
        <v>48</v>
      </c>
      <c r="E30" s="7" t="s">
        <v>46</v>
      </c>
      <c r="F30" s="1">
        <v>548</v>
      </c>
      <c r="G30" s="1">
        <v>3059</v>
      </c>
      <c r="H30" s="3">
        <v>17.899999999999999</v>
      </c>
      <c r="I30" s="3"/>
      <c r="J30" s="2">
        <v>0.18</v>
      </c>
      <c r="L30" s="3">
        <v>2</v>
      </c>
      <c r="M30" s="1" t="s">
        <v>57</v>
      </c>
      <c r="N30" s="3">
        <f>(H30+I30+L30)*1.18</f>
        <v>23.481999999999996</v>
      </c>
    </row>
    <row r="31" spans="1:14" x14ac:dyDescent="0.2">
      <c r="A31" s="1" t="s">
        <v>32</v>
      </c>
      <c r="B31" s="1" t="s">
        <v>28</v>
      </c>
      <c r="C31" s="1" t="s">
        <v>33</v>
      </c>
      <c r="E31" s="7" t="s">
        <v>58</v>
      </c>
      <c r="F31" s="1">
        <v>548</v>
      </c>
      <c r="G31" s="1">
        <v>553</v>
      </c>
      <c r="H31" s="3">
        <v>7.95</v>
      </c>
      <c r="L31" s="3">
        <v>2</v>
      </c>
      <c r="M31" s="1" t="s">
        <v>69</v>
      </c>
      <c r="N31" s="3">
        <f>H31+I31+K31+L31</f>
        <v>9.9499999999999993</v>
      </c>
    </row>
    <row r="32" spans="1:14" x14ac:dyDescent="0.2">
      <c r="A32" s="1" t="s">
        <v>27</v>
      </c>
      <c r="B32" s="1" t="s">
        <v>28</v>
      </c>
      <c r="C32" s="1" t="s">
        <v>17</v>
      </c>
      <c r="E32" s="7" t="s">
        <v>18</v>
      </c>
      <c r="F32" s="1">
        <v>548</v>
      </c>
      <c r="G32" s="1">
        <v>553</v>
      </c>
      <c r="H32" s="3">
        <v>7.95</v>
      </c>
      <c r="I32" s="3"/>
      <c r="L32" s="3">
        <v>2</v>
      </c>
      <c r="M32" s="1" t="s">
        <v>69</v>
      </c>
      <c r="N32" s="3">
        <f>H32+I32+K32+L32</f>
        <v>9.9499999999999993</v>
      </c>
    </row>
    <row r="33" spans="1:14" x14ac:dyDescent="0.2">
      <c r="A33" s="1" t="s">
        <v>29</v>
      </c>
      <c r="B33" s="1" t="s">
        <v>28</v>
      </c>
      <c r="C33" s="1" t="s">
        <v>19</v>
      </c>
      <c r="E33" s="7" t="s">
        <v>18</v>
      </c>
      <c r="F33" s="1">
        <v>548</v>
      </c>
      <c r="G33" s="1">
        <v>553</v>
      </c>
      <c r="H33" s="3">
        <v>7.95</v>
      </c>
      <c r="I33" s="3"/>
      <c r="L33" s="3">
        <v>2</v>
      </c>
      <c r="M33" s="1" t="s">
        <v>69</v>
      </c>
      <c r="N33" s="3">
        <f>H33+I33+K33+L33</f>
        <v>9.9499999999999993</v>
      </c>
    </row>
    <row r="34" spans="1:14" x14ac:dyDescent="0.2">
      <c r="A34" s="1" t="s">
        <v>30</v>
      </c>
      <c r="B34" s="1" t="s">
        <v>31</v>
      </c>
      <c r="C34" s="1" t="s">
        <v>21</v>
      </c>
      <c r="E34" s="7" t="s">
        <v>18</v>
      </c>
      <c r="F34" s="1">
        <v>548</v>
      </c>
      <c r="G34" s="1">
        <v>553</v>
      </c>
      <c r="I34" s="3"/>
      <c r="L34" s="3">
        <v>2</v>
      </c>
      <c r="M34" s="1" t="s">
        <v>69</v>
      </c>
      <c r="N34" s="3">
        <f>H34+I34+K34+L34</f>
        <v>2</v>
      </c>
    </row>
    <row r="35" spans="1:14" x14ac:dyDescent="0.2">
      <c r="A35" s="1" t="s">
        <v>59</v>
      </c>
      <c r="B35" s="1" t="s">
        <v>60</v>
      </c>
      <c r="C35" s="1" t="s">
        <v>37</v>
      </c>
      <c r="E35" s="7" t="s">
        <v>61</v>
      </c>
      <c r="F35" s="1">
        <v>548</v>
      </c>
      <c r="G35" s="1">
        <v>554</v>
      </c>
      <c r="H35" s="3">
        <v>7.95</v>
      </c>
      <c r="J35" s="2">
        <v>0.15</v>
      </c>
      <c r="K35" s="3">
        <v>5</v>
      </c>
      <c r="L35" s="3">
        <v>2</v>
      </c>
      <c r="M35" s="1" t="s">
        <v>69</v>
      </c>
      <c r="N35" s="3">
        <f>(H35+I35+L35)*1.15+K35</f>
        <v>16.442499999999999</v>
      </c>
    </row>
    <row r="36" spans="1:14" x14ac:dyDescent="0.2">
      <c r="A36" s="1" t="s">
        <v>62</v>
      </c>
      <c r="B36" s="1" t="s">
        <v>60</v>
      </c>
      <c r="C36" s="1" t="s">
        <v>39</v>
      </c>
      <c r="E36" s="7" t="s">
        <v>61</v>
      </c>
      <c r="F36" s="1">
        <v>548</v>
      </c>
      <c r="G36" s="1">
        <v>554</v>
      </c>
      <c r="H36" s="3">
        <v>7.95</v>
      </c>
      <c r="J36" s="2">
        <v>0.15</v>
      </c>
      <c r="K36" s="3">
        <v>6</v>
      </c>
      <c r="L36" s="3">
        <v>2</v>
      </c>
      <c r="M36" s="1" t="s">
        <v>69</v>
      </c>
      <c r="N36" s="3">
        <f>(H36+I36+L36)*1.15+K36</f>
        <v>17.442499999999999</v>
      </c>
    </row>
    <row r="37" spans="1:14" x14ac:dyDescent="0.2">
      <c r="A37" s="1" t="s">
        <v>63</v>
      </c>
      <c r="B37" s="1" t="s">
        <v>60</v>
      </c>
      <c r="C37" s="1" t="s">
        <v>33</v>
      </c>
      <c r="E37" s="7" t="s">
        <v>61</v>
      </c>
      <c r="F37" s="1">
        <v>548</v>
      </c>
      <c r="G37" s="1">
        <v>554</v>
      </c>
      <c r="H37" s="3">
        <v>7.95</v>
      </c>
      <c r="J37" s="2">
        <v>0.15</v>
      </c>
      <c r="L37" s="3">
        <v>2</v>
      </c>
      <c r="M37" s="1" t="s">
        <v>69</v>
      </c>
      <c r="N37" s="3">
        <f>(H37+I37+L37)*1.15+K37</f>
        <v>11.442499999999999</v>
      </c>
    </row>
    <row r="38" spans="1:14" x14ac:dyDescent="0.2">
      <c r="A38" s="1" t="s">
        <v>64</v>
      </c>
      <c r="B38" s="1" t="s">
        <v>65</v>
      </c>
      <c r="C38" s="1" t="s">
        <v>37</v>
      </c>
      <c r="D38" s="1" t="s">
        <v>73</v>
      </c>
      <c r="E38" s="6" t="s">
        <v>20</v>
      </c>
      <c r="F38" s="1">
        <v>548</v>
      </c>
      <c r="G38" s="1">
        <v>555</v>
      </c>
      <c r="H38" s="3">
        <v>7.95</v>
      </c>
      <c r="I38" s="3">
        <v>3.95</v>
      </c>
      <c r="J38" s="2">
        <v>0.22</v>
      </c>
      <c r="K38" s="3">
        <v>5</v>
      </c>
      <c r="L38" s="3">
        <v>2</v>
      </c>
      <c r="M38" s="1" t="s">
        <v>69</v>
      </c>
      <c r="N38" s="3">
        <f>(H38+I38+L38+L38)*1.22+K38</f>
        <v>24.398</v>
      </c>
    </row>
    <row r="39" spans="1:14" x14ac:dyDescent="0.2">
      <c r="A39" s="1" t="s">
        <v>66</v>
      </c>
      <c r="B39" s="1" t="s">
        <v>65</v>
      </c>
      <c r="C39" s="1" t="s">
        <v>39</v>
      </c>
      <c r="D39" s="1" t="s">
        <v>74</v>
      </c>
      <c r="E39" s="6" t="s">
        <v>20</v>
      </c>
      <c r="F39" s="1">
        <v>548</v>
      </c>
      <c r="G39" s="1">
        <v>555</v>
      </c>
      <c r="H39" s="3">
        <v>7.95</v>
      </c>
      <c r="I39" s="3">
        <v>3.95</v>
      </c>
      <c r="J39" s="2">
        <v>0.22</v>
      </c>
      <c r="K39" s="3">
        <v>6</v>
      </c>
      <c r="L39" s="3">
        <v>2</v>
      </c>
      <c r="M39" s="1" t="s">
        <v>69</v>
      </c>
      <c r="N39" s="3">
        <f>(H39+I39+L39+L39)*1.22+K39</f>
        <v>25.398</v>
      </c>
    </row>
    <row r="40" spans="1:14" x14ac:dyDescent="0.2">
      <c r="A40" s="1" t="s">
        <v>67</v>
      </c>
      <c r="B40" s="1" t="s">
        <v>65</v>
      </c>
      <c r="C40" s="1" t="s">
        <v>33</v>
      </c>
      <c r="D40" s="1" t="s">
        <v>75</v>
      </c>
      <c r="E40" s="6" t="s">
        <v>20</v>
      </c>
      <c r="F40" s="1">
        <v>548</v>
      </c>
      <c r="G40" s="1">
        <v>555</v>
      </c>
      <c r="H40" s="3">
        <v>7.95</v>
      </c>
      <c r="I40" s="3">
        <v>3.95</v>
      </c>
      <c r="J40" s="2">
        <v>0.22</v>
      </c>
      <c r="L40" s="3">
        <v>2</v>
      </c>
      <c r="M40" s="1" t="s">
        <v>69</v>
      </c>
      <c r="N40" s="3">
        <f>(H40+I40+L40+L40)*1.22+K40</f>
        <v>19.398</v>
      </c>
    </row>
    <row r="41" spans="1:14" x14ac:dyDescent="0.2">
      <c r="A41" s="1" t="s">
        <v>35</v>
      </c>
      <c r="B41" s="1" t="s">
        <v>36</v>
      </c>
      <c r="C41" s="1" t="s">
        <v>37</v>
      </c>
      <c r="D41" s="1" t="s">
        <v>70</v>
      </c>
      <c r="E41" s="6" t="s">
        <v>20</v>
      </c>
      <c r="F41" s="1">
        <v>548</v>
      </c>
      <c r="G41" s="1">
        <v>556</v>
      </c>
      <c r="H41" s="3">
        <v>7.95</v>
      </c>
      <c r="I41" s="3">
        <v>6.95</v>
      </c>
      <c r="J41" s="2">
        <v>0.28000000000000003</v>
      </c>
      <c r="K41" s="3">
        <v>5</v>
      </c>
      <c r="L41" s="3">
        <v>2</v>
      </c>
      <c r="M41" s="1" t="s">
        <v>69</v>
      </c>
      <c r="N41" s="3">
        <f>(H41+I41+L41+L41)*1.28+K41</f>
        <v>29.192</v>
      </c>
    </row>
    <row r="42" spans="1:14" x14ac:dyDescent="0.2">
      <c r="A42" s="1" t="s">
        <v>38</v>
      </c>
      <c r="B42" s="1" t="s">
        <v>36</v>
      </c>
      <c r="C42" s="1" t="s">
        <v>39</v>
      </c>
      <c r="D42" s="1" t="s">
        <v>71</v>
      </c>
      <c r="E42" s="6" t="s">
        <v>20</v>
      </c>
      <c r="F42" s="1">
        <v>548</v>
      </c>
      <c r="G42" s="1">
        <v>556</v>
      </c>
      <c r="H42" s="3">
        <v>7.95</v>
      </c>
      <c r="I42" s="3">
        <v>6.95</v>
      </c>
      <c r="J42" s="2">
        <v>0.28000000000000003</v>
      </c>
      <c r="K42" s="3">
        <v>6</v>
      </c>
      <c r="L42" s="3">
        <v>2</v>
      </c>
      <c r="M42" s="1" t="s">
        <v>69</v>
      </c>
      <c r="N42" s="3">
        <f>(H42+I42+L42+L42)*1.28+K42</f>
        <v>30.192</v>
      </c>
    </row>
    <row r="43" spans="1:14" x14ac:dyDescent="0.2">
      <c r="A43" s="1" t="s">
        <v>40</v>
      </c>
      <c r="B43" s="1" t="s">
        <v>36</v>
      </c>
      <c r="C43" s="1" t="s">
        <v>33</v>
      </c>
      <c r="D43" s="1" t="s">
        <v>72</v>
      </c>
      <c r="E43" s="6" t="s">
        <v>20</v>
      </c>
      <c r="F43" s="1">
        <v>548</v>
      </c>
      <c r="G43" s="1">
        <v>556</v>
      </c>
      <c r="H43" s="3">
        <v>7.95</v>
      </c>
      <c r="I43" s="3">
        <v>6.95</v>
      </c>
      <c r="J43" s="2">
        <v>0.28000000000000003</v>
      </c>
      <c r="L43" s="3">
        <v>2</v>
      </c>
      <c r="M43" s="1" t="s">
        <v>69</v>
      </c>
      <c r="N43" s="3">
        <f>(H43+I43+L43+L43)*1.28+K43</f>
        <v>24.192</v>
      </c>
    </row>
    <row r="44" spans="1:14" x14ac:dyDescent="0.2">
      <c r="A44" s="1" t="s">
        <v>41</v>
      </c>
      <c r="B44" s="1" t="s">
        <v>42</v>
      </c>
      <c r="C44" s="1" t="s">
        <v>14</v>
      </c>
      <c r="D44" s="1" t="s">
        <v>43</v>
      </c>
      <c r="E44" s="7" t="s">
        <v>15</v>
      </c>
      <c r="F44" s="1">
        <v>548</v>
      </c>
      <c r="G44" s="1">
        <v>557</v>
      </c>
      <c r="H44" s="3">
        <v>7.95</v>
      </c>
      <c r="I44" s="3"/>
      <c r="J44" s="2">
        <v>0.1</v>
      </c>
      <c r="L44" s="3">
        <v>2</v>
      </c>
      <c r="M44" s="1" t="s">
        <v>69</v>
      </c>
      <c r="N44" s="3">
        <f>(H44+I44+L44)*1.1</f>
        <v>10.945</v>
      </c>
    </row>
    <row r="45" spans="1:14" x14ac:dyDescent="0.2">
      <c r="A45" s="1" t="s">
        <v>44</v>
      </c>
      <c r="B45" s="1" t="s">
        <v>45</v>
      </c>
      <c r="E45" s="6" t="s">
        <v>46</v>
      </c>
      <c r="F45" s="1">
        <v>548</v>
      </c>
      <c r="G45" s="1">
        <v>558</v>
      </c>
      <c r="H45" s="3">
        <v>7.95</v>
      </c>
      <c r="I45" s="3"/>
      <c r="L45" s="3">
        <v>2</v>
      </c>
      <c r="M45" s="1" t="s">
        <v>69</v>
      </c>
      <c r="N45" s="3">
        <f>H45+I45+K45+L45</f>
        <v>9.9499999999999993</v>
      </c>
    </row>
    <row r="46" spans="1:14" x14ac:dyDescent="0.2">
      <c r="A46" s="1" t="s">
        <v>47</v>
      </c>
      <c r="B46" s="1" t="s">
        <v>45</v>
      </c>
      <c r="D46" s="1" t="s">
        <v>48</v>
      </c>
      <c r="E46" s="6" t="s">
        <v>46</v>
      </c>
      <c r="F46" s="1">
        <v>548</v>
      </c>
      <c r="G46" s="1">
        <v>3059</v>
      </c>
      <c r="H46" s="3">
        <v>17.899999999999999</v>
      </c>
      <c r="I46" s="3"/>
      <c r="J46" s="2">
        <v>0.28000000000000003</v>
      </c>
      <c r="L46" s="3">
        <v>2</v>
      </c>
      <c r="M46" s="1" t="s">
        <v>69</v>
      </c>
      <c r="N46" s="3">
        <f>(H46+I46+L46)*1.28</f>
        <v>25.471999999999998</v>
      </c>
    </row>
    <row r="47" spans="1:14" x14ac:dyDescent="0.2">
      <c r="A47" s="1" t="s">
        <v>76</v>
      </c>
      <c r="I47" s="3"/>
      <c r="N47" s="3"/>
    </row>
    <row r="48" spans="1:14" x14ac:dyDescent="0.2">
      <c r="A48" s="8"/>
    </row>
    <row r="49" spans="1:2" x14ac:dyDescent="0.2">
      <c r="A49" s="8"/>
    </row>
    <row r="50" spans="1:2" x14ac:dyDescent="0.2">
      <c r="A50" s="8"/>
    </row>
    <row r="51" spans="1:2" x14ac:dyDescent="0.2">
      <c r="A51" s="8"/>
    </row>
    <row r="52" spans="1:2" x14ac:dyDescent="0.2">
      <c r="A52" s="8"/>
    </row>
    <row r="53" spans="1:2" x14ac:dyDescent="0.2">
      <c r="A53" s="8"/>
    </row>
    <row r="54" spans="1:2" x14ac:dyDescent="0.2">
      <c r="A54" s="8"/>
    </row>
    <row r="55" spans="1:2" x14ac:dyDescent="0.2">
      <c r="A55" s="8"/>
    </row>
    <row r="56" spans="1:2" x14ac:dyDescent="0.2">
      <c r="A56" s="8"/>
    </row>
    <row r="57" spans="1:2" x14ac:dyDescent="0.2">
      <c r="A57" s="8"/>
    </row>
    <row r="58" spans="1:2" x14ac:dyDescent="0.2">
      <c r="A58" s="8"/>
    </row>
    <row r="59" spans="1:2" x14ac:dyDescent="0.2">
      <c r="A59" s="8"/>
    </row>
    <row r="60" spans="1:2" x14ac:dyDescent="0.2">
      <c r="A60" s="8"/>
    </row>
    <row r="61" spans="1:2" x14ac:dyDescent="0.2">
      <c r="A61" s="8"/>
    </row>
    <row r="62" spans="1:2" x14ac:dyDescent="0.2">
      <c r="A62" s="8"/>
      <c r="B62" s="8"/>
    </row>
    <row r="63" spans="1:2" x14ac:dyDescent="0.2">
      <c r="A63" s="8"/>
      <c r="B63" s="8"/>
    </row>
    <row r="64" spans="1:2" x14ac:dyDescent="0.2">
      <c r="A64" s="8"/>
      <c r="B64" s="8"/>
    </row>
    <row r="65" spans="1:2" x14ac:dyDescent="0.2">
      <c r="A65" s="8"/>
      <c r="B65" s="8"/>
    </row>
    <row r="66" spans="1:2" x14ac:dyDescent="0.2">
      <c r="A66" s="8"/>
      <c r="B66" s="8"/>
    </row>
    <row r="67" spans="1:2" x14ac:dyDescent="0.2">
      <c r="A67" s="8"/>
      <c r="B67" s="8"/>
    </row>
    <row r="68" spans="1:2" x14ac:dyDescent="0.2">
      <c r="A68" s="8"/>
      <c r="B68" s="8"/>
    </row>
    <row r="69" spans="1:2" x14ac:dyDescent="0.2">
      <c r="A69" s="8"/>
      <c r="B69" s="8"/>
    </row>
    <row r="70" spans="1:2" x14ac:dyDescent="0.2">
      <c r="A70" s="8"/>
      <c r="B70" s="8"/>
    </row>
    <row r="71" spans="1:2" x14ac:dyDescent="0.2">
      <c r="A71" s="8"/>
      <c r="B71" s="8"/>
    </row>
  </sheetData>
  <autoFilter ref="A1:N71" xr:uid="{C98FB5EB-9352-6F4E-BB5B-9ED237D044DA}">
    <sortState xmlns:xlrd2="http://schemas.microsoft.com/office/spreadsheetml/2017/richdata2" ref="A2:N71">
      <sortCondition ref="M1:M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Pro-Client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Jacklyn Wozniak</dc:creator>
  <cp:keywords/>
  <dc:description/>
  <cp:lastModifiedBy>Cliff Robbins</cp:lastModifiedBy>
  <cp:revision/>
  <dcterms:created xsi:type="dcterms:W3CDTF">2024-09-16T20:35:29Z</dcterms:created>
  <dcterms:modified xsi:type="dcterms:W3CDTF">2026-02-18T10:27:23Z</dcterms:modified>
  <cp:category/>
  <cp:contentStatus/>
</cp:coreProperties>
</file>